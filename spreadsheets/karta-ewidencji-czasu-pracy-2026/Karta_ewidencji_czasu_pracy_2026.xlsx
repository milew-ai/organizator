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widencja 2026" sheetId="1" state="visible" r:id="rId2"/>
  </sheets>
  <definedNames>
    <definedName function="false" hidden="false" localSheetId="0" name="_xlnm.Print_Titles" vbProcedure="false">'Ewidencja 2026'!$A:$A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<sst xmlns="http://schemas.openxmlformats.org/spreadsheetml/2006/main" count="101" uniqueCount="99">
  <si>
    <t xml:space="preserve">Karta ewidencji czasu pracy – rok 2026 (pełen etat, poniedziałek–piątek, 8 h)</t>
  </si>
  <si>
    <t xml:space="preserve">Imię i nazwisko</t>
  </si>
  <si>
    <t xml:space="preserve"/>
  </si>
  <si>
    <t xml:space="preserve">Stanowisko</t>
  </si>
  <si>
    <t xml:space="preserve">Jednostka organizacyjna</t>
  </si>
  <si>
    <t xml:space="preserve">Rok</t>
  </si>
  <si>
    <t xml:space="preserve">Norma</t>
  </si>
  <si>
    <t xml:space="preserve">Pełen etat – 8 h/dzień, poniedziałek–piątek</t>
  </si>
  <si>
    <t xml:space="preserve">Godziny od – do</t>
  </si>
  <si>
    <t xml:space="preserve">6:00–14:00,  14:00–22:00</t>
  </si>
  <si>
    <t xml:space="preserve">Ilość godzin na dzień</t>
  </si>
  <si>
    <t xml:space="preserve">Miesiąc</t>
  </si>
  <si>
    <t xml:space="preserve">Dni miesiąca – wybierz z listy (8 = praca, inaczej kod nieobecności)</t>
  </si>
  <si>
    <t xml:space="preserve">Ilość godzin pracy</t>
  </si>
  <si>
    <t xml:space="preserve">Nieobecności w godzinach (8 h za każdy dzień z kodem)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</si>
  <si>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</si>
  <si>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</si>
  <si>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</si>
  <si>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</si>
  <si>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</si>
  <si>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</si>
  <si>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</si>
  <si>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</si>
  <si>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</si>
  <si>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</si>
  <si>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</si>
  <si>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</si>
  <si>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</si>
  <si>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</si>
  <si>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</si>
  <si>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</si>
  <si>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</si>
  <si>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</si>
  <si>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</si>
  <si>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</si>
  <si>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</si>
  <si>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</si>
  <si>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</si>
  <si>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</si>
  <si>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</si>
  <si>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</si>
  <si>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</si>
  <si>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</si>
  <si>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</si>
  <si>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</si>
  <si>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</si>
  <si>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Suma</t>
  </si>
  <si>
    <t xml:space="preserve">w niedziele
i święta</t>
  </si>
  <si>
    <t xml:space="preserve">w nocy</t>
  </si>
  <si>
    <t xml:space="preserve">nad-
godziny</t>
  </si>
  <si>
    <t xml:space="preserve">I</t>
  </si>
  <si>
    <t xml:space="preserve">II</t>
  </si>
  <si>
    <t xml:space="preserve">III</t>
  </si>
  <si>
    <t xml:space="preserve">IV</t>
  </si>
  <si>
    <t xml:space="preserve">V</t>
  </si>
  <si>
    <t xml:space="preserve">VI</t>
  </si>
  <si>
    <t xml:space="preserve">VII</t>
  </si>
  <si>
    <t xml:space="preserve">VIII</t>
  </si>
  <si>
    <t xml:space="preserve">IX</t>
  </si>
  <si>
    <t xml:space="preserve">X</t>
  </si>
  <si>
    <t xml:space="preserve">XI</t>
  </si>
  <si>
    <t xml:space="preserve">XII</t>
  </si>
  <si>
    <t xml:space="preserve">RAZEM</t>
  </si>
  <si>
    <t xml:space="preserve">Przysługujące dni urlopu wypoczynkowego:</t>
  </si>
  <si>
    <t xml:space="preserve">Wykorzystano dni urlopu wypoczynkowego:</t>
  </si>
  <si>
    <t xml:space="preserve">Pozostało dni urlopu wypoczynkowego:</t>
  </si>
  <si>
    <t xml:space="preserve">Słownik kodów (lista rozwijana w komórkach dni; 8 = praca, reszta = nieobecność):</t>
  </si>
  <si>
    <t xml:space="preserve">Praca – 8 godzin</t>
  </si>
  <si>
    <t xml:space="preserve">UW</t>
  </si>
  <si>
    <t xml:space="preserve">Urlop wypoczynkowy (U:WP)</t>
  </si>
  <si>
    <t xml:space="preserve">UŻ</t>
  </si>
  <si>
    <t xml:space="preserve">Urlop „na żądanie” (U:NŻ)</t>
  </si>
  <si>
    <t xml:space="preserve">UO</t>
  </si>
  <si>
    <t xml:space="preserve">Urlop okolicznościowy (U:O)</t>
  </si>
  <si>
    <t xml:space="preserve">UB</t>
  </si>
  <si>
    <t xml:space="preserve">Urlop bezpłatny (U:B)</t>
  </si>
  <si>
    <t xml:space="preserve">OND</t>
  </si>
  <si>
    <t xml:space="preserve">Opieka nad dzieckiem (O:ND)</t>
  </si>
  <si>
    <t xml:space="preserve">L4</t>
  </si>
  <si>
    <t xml:space="preserve">Zwolnienie lekarskie (L4)</t>
  </si>
  <si>
    <t xml:space="preserve">UWW</t>
  </si>
  <si>
    <t xml:space="preserve">Urlop wychowawczy (U:W)</t>
  </si>
  <si>
    <t xml:space="preserve">UM</t>
  </si>
  <si>
    <t xml:space="preserve">Urlop macierzyński (U:M)</t>
  </si>
  <si>
    <t xml:space="preserve">ŚR</t>
  </si>
  <si>
    <t xml:space="preserve">Świadczenia rehabilitacyjne (Ś:Reh)</t>
  </si>
  <si>
    <t xml:space="preserve">OK</t>
  </si>
  <si>
    <t xml:space="preserve">Oddanie krwi (O:K)</t>
  </si>
  <si>
    <t xml:space="preserve">WN</t>
  </si>
  <si>
    <t xml:space="preserve">Wolne za nadgodziny (W:N)</t>
  </si>
  <si>
    <t xml:space="preserve">WŚ</t>
  </si>
  <si>
    <t xml:space="preserve">Odbiór za pracę w święto (O:DB)</t>
  </si>
  <si>
    <t xml:space="preserve">W5</t>
  </si>
  <si>
    <t xml:space="preserve">Wolne – 5-dniowy tydzień pracy (W:5)</t>
  </si>
  <si>
    <t xml:space="preserve">DN</t>
  </si>
  <si>
    <t xml:space="preserve">Wypłata nadgodzin (D:N)</t>
  </si>
  <si>
    <t xml:space="preserve">Słownik kodów: wpisz lub wybierz kod w komórce dnia – odpowiednia kolumna pokaże 8 h (np. UW = urlop wypoczynkowy). 8 = dzień pracy.</t>
  </si>
  <si>
    <t xml:space="preserve">Godziny pracy: 253 dni robocze × 8 h = 2024 h (pełen etat). Dni wolne: szary = weekend, różowy = święto.</t>
  </si>
  <si>
    <t xml:space="preserve">Święta 2026: 1 I, 6 I, 5 IV (Wielkanoc), 6 IV, 1 V, 3 V, 4 VI, 15 VIII, 1 XI, 11 XI, 24 XII (Wigilia), 25 XII, 26 XII.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</si>
</sst>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"/>
  </numFmts>
  <fonts count="12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4"/>
      <color rgb="FF1F3864"/>
      <name val="Calibri"/>
      <family val="0"/>
      <charset val="238"/>
    </font>
    <font>
      <b val="true"/>
      <sz val="10"/>
      <name val="Calibri"/>
      <family val="0"/>
      <charset val="238"/>
    </font>
    <font>
      <sz val="10"/>
      <name val="Calibri"/>
      <family val="0"/>
      <charset val="238"/>
    </font>
    <font>
      <b val="true"/>
      <sz val="8"/>
      <name val="Calibri"/>
      <family val="0"/>
      <charset val="238"/>
    </font>
    <font>
      <sz val="9"/>
      <name val="Calibri"/>
      <family val="0"/>
      <charset val="238"/>
    </font>
    <font>
      <b val="true"/>
      <sz val="9"/>
      <name val="Calibri"/>
      <family val="0"/>
      <charset val="238"/>
    </font>
    <font>
      <sz val="9"/>
      <color rgb="FF404040"/>
      <name val="Calibri"/>
      <family val="0"/>
      <charset val="238"/>
    </font>
    <font>
      <i val="true"/>
      <sz val="9"/>
      <color rgb="FF595959"/>
      <name val="Calibri"/>
      <family val="0"/>
      <charset val="238"/>
    </font>
  </fonts>
  <fills count="9">
    <fill>
      <patternFill patternType="none"/>
    </fill>
    <fill>
      <patternFill patternType="gray125"/>
    </fill>
    <fill>
      <patternFill patternType="solid">
        <fgColor rgb="FFD9E2F3"/>
        <bgColor rgb="FFE2EFDA"/>
      </patternFill>
    </fill>
    <fill>
      <patternFill patternType="solid">
        <fgColor rgb="FFEDEDED"/>
        <bgColor rgb="FFF2F2F2"/>
      </patternFill>
    </fill>
    <fill>
      <patternFill patternType="solid">
        <fgColor rgb="FFF8D7DA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2F2F2"/>
      </patternFill>
    </fill>
    <fill>
      <patternFill patternType="solid">
        <fgColor rgb="FFD0D0D0"/>
        <bgColor rgb="FFC8C8C8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808080"/>
      </bottom>
      <diagonal/>
    </border>
    <border diagonalUp="false" diagonalDown="false"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 diagonalUp="false" diagonalDown="false">
      <left style="hair">
        <color rgb="FF9F9F9F"/>
      </left>
      <right style="hair">
        <color rgb="FF9F9F9F"/>
      </right>
      <top style="hair">
        <color rgb="FF9F9F9F"/>
      </top>
      <bottom style="hair">
        <color rgb="FF9F9F9F"/>
      </bottom>
      <diagonal/>
    </border>
    <border diagonalUp="false" diagonalDown="false">
      <left style="hair">
        <color rgb="FFC8C8C8"/>
      </left>
      <right style="hair">
        <color rgb="FFC8C8C8"/>
      </right>
      <top style="hair">
        <color rgb="FFC8C8C8"/>
      </top>
      <bottom style="hair">
        <color rgb="FFC8C8C8"/>
      </bottom>
      <diagonal/>
    </border>
    <border diagonalUp="false" diagonalDown="false">
      <left style="hair">
        <color rgb="FFD0D0D0"/>
      </left>
      <right style="hair">
        <color rgb="FFD0D0D0"/>
      </right>
      <top style="hair">
        <color rgb="FFD0D0D0"/>
      </top>
      <bottom style="hair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7F7F"/>
      <rgbColor rgb="FF800080"/>
      <rgbColor rgb="FF008080"/>
      <rgbColor rgb="FFC8C8C8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F9F9F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X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pane xSplit="1" topLeftCell="B1" activePane="topRight" state="frozen"/>
      <selection pane="topRigh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64"/>
    <col collapsed="false" customWidth="true" hidden="false" outlineLevel="0" max="32" min="2" style="0" width="4.14"/>
    <col collapsed="false" customWidth="true" hidden="false" outlineLevel="0" max="33" min="33" style="0" width="10.21"/>
    <col collapsed="false" customWidth="true" hidden="false" outlineLevel="0" max="34" min="34" style="0" width="11.24"/>
    <col collapsed="false" customWidth="true" hidden="false" outlineLevel="0" max="35" min="35" style="0" width="7.16"/>
    <col collapsed="false" customWidth="true" hidden="false" outlineLevel="0" max="36" min="36" style="0" width="10.21"/>
    <col collapsed="false" customWidth="true" hidden="false" outlineLevel="0" max="50" min="37" style="0" width="5.87"/>
  </cols>
  <sheetData>
    <row r="1" customFormat="false" ht="21.05" hidden="false" customHeight="fals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3" customFormat="false" ht="13.45" hidden="false" customHeight="false" outlineLevel="0" collapsed="false">
      <c r="B3" s="2" t="s">
        <v>1</v>
      </c>
      <c r="C3" s="2"/>
      <c r="D3" s="2"/>
      <c r="E3" s="2"/>
      <c r="F3" s="2"/>
      <c r="G3" s="2"/>
      <c r="H3" s="3" t="s">
        <v>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13.45" hidden="false" customHeight="false" outlineLevel="0" collapsed="false">
      <c r="B4" s="2" t="s">
        <v>3</v>
      </c>
      <c r="C4" s="2"/>
      <c r="D4" s="2"/>
      <c r="E4" s="2"/>
      <c r="F4" s="2"/>
      <c r="G4" s="2"/>
      <c r="H4" s="3" t="s">
        <v>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Format="false" ht="13.45" hidden="false" customHeight="false" outlineLevel="0" collapsed="false">
      <c r="B5" s="2" t="s">
        <v>4</v>
      </c>
      <c r="C5" s="2"/>
      <c r="D5" s="2"/>
      <c r="E5" s="2"/>
      <c r="F5" s="2"/>
      <c r="G5" s="2"/>
      <c r="H5" s="3" t="s">
        <v>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customFormat="false" ht="13.45" hidden="false" customHeight="false" outlineLevel="0" collapsed="false">
      <c r="B6" s="2" t="s">
        <v>5</v>
      </c>
      <c r="C6" s="2"/>
      <c r="D6" s="2"/>
      <c r="E6" s="2"/>
      <c r="F6" s="2"/>
      <c r="G6" s="2"/>
      <c r="H6" s="3" t="n">
        <v>2026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customFormat="false" ht="13.45" hidden="false" customHeight="false" outlineLevel="0" collapsed="false">
      <c r="B7" s="2" t="s">
        <v>6</v>
      </c>
      <c r="C7" s="2"/>
      <c r="D7" s="2"/>
      <c r="E7" s="2"/>
      <c r="F7" s="2"/>
      <c r="G7" s="2"/>
      <c r="H7" s="3" t="s">
        <v>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customFormat="false" ht="13.45" hidden="false" customHeight="false" outlineLevel="0" collapsed="false">
      <c r="B8" s="2" t="s">
        <v>8</v>
      </c>
      <c r="C8" s="2"/>
      <c r="D8" s="2"/>
      <c r="E8" s="2"/>
      <c r="F8" s="2"/>
      <c r="G8" s="2"/>
      <c r="H8" s="3" t="s">
        <v>9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customFormat="false" ht="13.45" hidden="false" customHeight="false" outlineLevel="0" collapsed="false">
      <c r="B9" s="2" t="s">
        <v>10</v>
      </c>
      <c r="C9" s="2"/>
      <c r="D9" s="2"/>
      <c r="E9" s="2"/>
      <c r="F9" s="2"/>
      <c r="G9" s="2"/>
      <c r="H9" s="3" t="n">
        <v>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1" customFormat="false" ht="14.05" hidden="false" customHeight="false" outlineLevel="0" collapsed="false">
      <c r="A11" s="4" t="s">
        <v>11</v>
      </c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 t="s">
        <v>13</v>
      </c>
      <c r="AH11" s="4"/>
      <c r="AI11" s="4"/>
      <c r="AJ11" s="4"/>
      <c r="AK11" s="4" t="s">
        <v>14</v>
      </c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customFormat="false" ht="16.85" hidden="false" customHeight="false" outlineLevel="0" collapsed="false">
      <c r="A12" s="4"/>
      <c r="B12" s="5" t="s">
        <v>15</v>
      </c>
      <c r="C12" s="5" t="s">
        <v>16</v>
      </c>
      <c r="D12" s="5" t="s">
        <v>17</v>
      </c>
      <c r="E12" s="5" t="s">
        <v>18</v>
      </c>
      <c r="F12" s="5" t="s">
        <v>19</v>
      </c>
      <c r="G12" s="5" t="s">
        <v>20</v>
      </c>
      <c r="H12" s="5" t="s">
        <v>21</v>
      </c>
      <c r="I12" s="5" t="s">
        <v>22</v>
      </c>
      <c r="J12" s="5" t="s">
        <v>23</v>
      </c>
      <c r="K12" s="5" t="s">
        <v>24</v>
      </c>
      <c r="L12" s="5" t="s">
        <v>25</v>
      </c>
      <c r="M12" s="5" t="s">
        <v>26</v>
      </c>
      <c r="N12" s="5" t="s">
        <v>27</v>
      </c>
      <c r="O12" s="5" t="s">
        <v>28</v>
      </c>
      <c r="P12" s="5" t="s">
        <v>29</v>
      </c>
      <c r="Q12" s="5" t="s">
        <v>30</v>
      </c>
      <c r="R12" s="5" t="s">
        <v>31</v>
      </c>
      <c r="S12" s="5" t="s">
        <v>32</v>
      </c>
      <c r="T12" s="5" t="s">
        <v>33</v>
      </c>
      <c r="U12" s="5" t="s">
        <v>34</v>
      </c>
      <c r="V12" s="5" t="s">
        <v>35</v>
      </c>
      <c r="W12" s="5" t="s">
        <v>36</v>
      </c>
      <c r="X12" s="5" t="s">
        <v>37</v>
      </c>
      <c r="Y12" s="5" t="s">
        <v>38</v>
      </c>
      <c r="Z12" s="5" t="s">
        <v>39</v>
      </c>
      <c r="AA12" s="5" t="s">
        <v>40</v>
      </c>
      <c r="AB12" s="5" t="s">
        <v>41</v>
      </c>
      <c r="AC12" s="5" t="s">
        <v>42</v>
      </c>
      <c r="AD12" s="5" t="s">
        <v>43</v>
      </c>
      <c r="AE12" s="5" t="s">
        <v>44</v>
      </c>
      <c r="AF12" s="5" t="s">
        <v>45</v>
      </c>
      <c r="AG12" s="6" t="s">
        <v>46</v>
      </c>
      <c r="AH12" s="6" t="s">
        <v>47</v>
      </c>
      <c r="AI12" s="6" t="s">
        <v>48</v>
      </c>
      <c r="AJ12" s="6" t="s">
        <v>49</v>
      </c>
      <c r="AK12" s="6" t="str">
        <f aca="false">$B$33</f>
        <v>UW</v>
      </c>
      <c r="AL12" s="6" t="str">
        <f aca="false">$B$34</f>
        <v>UŻ</v>
      </c>
      <c r="AM12" s="6" t="str">
        <f aca="false">$B$35</f>
        <v>UO</v>
      </c>
      <c r="AN12" s="6" t="str">
        <f aca="false">$B$36</f>
        <v>UB</v>
      </c>
      <c r="AO12" s="6" t="str">
        <f aca="false">$B$37</f>
        <v>OND</v>
      </c>
      <c r="AP12" s="6" t="str">
        <f aca="false">$B$38</f>
        <v>L4</v>
      </c>
      <c r="AQ12" s="6" t="str">
        <f aca="false">$B$39</f>
        <v>UWW</v>
      </c>
      <c r="AR12" s="6" t="str">
        <f aca="false">$B$40</f>
        <v>UM</v>
      </c>
      <c r="AS12" s="6" t="str">
        <f aca="false">$B$41</f>
        <v>ŚR</v>
      </c>
      <c r="AT12" s="6" t="str">
        <f aca="false">$B$42</f>
        <v>OK</v>
      </c>
      <c r="AU12" s="6" t="str">
        <f aca="false">$B$43</f>
        <v>WN</v>
      </c>
      <c r="AV12" s="6" t="str">
        <f aca="false">$B$44</f>
        <v>WŚ</v>
      </c>
      <c r="AW12" s="6" t="str">
        <f aca="false">$B$45</f>
        <v>W5</v>
      </c>
      <c r="AX12" s="6" t="str">
        <f aca="false">$B$46</f>
        <v>DN</v>
      </c>
    </row>
    <row r="13" customFormat="false" ht="13.45" hidden="false" customHeight="false" outlineLevel="0" collapsed="false">
      <c r="A13" s="7" t="s">
        <v>50</v>
      </c>
      <c r="B13" s="8"/>
      <c r="C13" s="9" t="n">
        <v>8</v>
      </c>
      <c r="D13" s="10"/>
      <c r="E13" s="10"/>
      <c r="F13" s="9" t="n">
        <v>8</v>
      </c>
      <c r="G13" s="8"/>
      <c r="H13" s="9" t="n">
        <v>8</v>
      </c>
      <c r="I13" s="9" t="n">
        <v>8</v>
      </c>
      <c r="J13" s="9" t="n">
        <v>8</v>
      </c>
      <c r="K13" s="10"/>
      <c r="L13" s="10"/>
      <c r="M13" s="9" t="n">
        <v>8</v>
      </c>
      <c r="N13" s="9" t="n">
        <v>8</v>
      </c>
      <c r="O13" s="9" t="n">
        <v>8</v>
      </c>
      <c r="P13" s="9" t="n">
        <v>8</v>
      </c>
      <c r="Q13" s="9" t="n">
        <v>8</v>
      </c>
      <c r="R13" s="10"/>
      <c r="S13" s="10"/>
      <c r="T13" s="9" t="n">
        <v>8</v>
      </c>
      <c r="U13" s="9" t="n">
        <v>8</v>
      </c>
      <c r="V13" s="9" t="n">
        <v>8</v>
      </c>
      <c r="W13" s="9" t="n">
        <v>8</v>
      </c>
      <c r="X13" s="9" t="n">
        <v>8</v>
      </c>
      <c r="Y13" s="10"/>
      <c r="Z13" s="10"/>
      <c r="AA13" s="9" t="n">
        <v>8</v>
      </c>
      <c r="AB13" s="9" t="n">
        <v>8</v>
      </c>
      <c r="AC13" s="9" t="n">
        <v>8</v>
      </c>
      <c r="AD13" s="9" t="n">
        <v>8</v>
      </c>
      <c r="AE13" s="9" t="n">
        <v>8</v>
      </c>
      <c r="AF13" s="10"/>
      <c r="AG13" s="11" t="n">
        <f aca="false">SUMPRODUCT(IF(ISNUMBER(B13:AF13),B13:AF13,IF(B13:AF13="8",8,0)))</f>
        <v>160</v>
      </c>
      <c r="AH13" s="12" t="n">
        <f aca="false">SUM(IF(ISNUMBER(B13),B13,IF(B13="8",8,0)),IF(ISNUMBER(D13),D13,IF(D13="8",8,0)),IF(ISNUMBER(E13),E13,IF(E13="8",8,0)),IF(ISNUMBER(G13),G13,IF(G13="8",8,0)),IF(ISNUMBER(K13),K13,IF(K13="8",8,0)),IF(ISNUMBER(L13),L13,IF(L13="8",8,0)),IF(ISNUMBER(R13),R13,IF(R13="8",8,0)),IF(ISNUMBER(S13),S13,IF(S13="8",8,0)),IF(ISNUMBER(Y13),Y13,IF(Y13="8",8,0)),IF(ISNUMBER(Z13),Z13,IF(Z13="8",8,0)),IF(ISNUMBER(AF13),AF13,IF(AF13="8",8,0)))</f>
        <v>0</v>
      </c>
      <c r="AI13" s="13"/>
      <c r="AJ13" s="12" t="n">
        <f aca="false">SUMIF(B13:AF13,"&gt;8")-8*COUNTIF(B13:AF13,"&gt;8")</f>
        <v>0</v>
      </c>
      <c r="AK13" s="12" t="n">
        <f aca="false">COUNTIF(B13:AF13,$B$33)*8</f>
        <v>0</v>
      </c>
      <c r="AL13" s="12" t="n">
        <f aca="false">COUNTIF(B13:AF13,$B$34)*8</f>
        <v>0</v>
      </c>
      <c r="AM13" s="12" t="n">
        <f aca="false">COUNTIF(B13:AF13,$B$35)*8</f>
        <v>0</v>
      </c>
      <c r="AN13" s="12" t="n">
        <f aca="false">COUNTIF(B13:AF13,$B$36)*8</f>
        <v>0</v>
      </c>
      <c r="AO13" s="12" t="n">
        <f aca="false">COUNTIF(B13:AF13,$B$37)*8</f>
        <v>0</v>
      </c>
      <c r="AP13" s="12" t="n">
        <f aca="false">COUNTIF(B13:AF13,$B$38)*8</f>
        <v>0</v>
      </c>
      <c r="AQ13" s="12" t="n">
        <f aca="false">COUNTIF(B13:AF13,$B$39)*8</f>
        <v>0</v>
      </c>
      <c r="AR13" s="12" t="n">
        <f aca="false">COUNTIF(B13:AF13,$B$40)*8</f>
        <v>0</v>
      </c>
      <c r="AS13" s="12" t="n">
        <f aca="false">COUNTIF(B13:AF13,$B$41)*8</f>
        <v>0</v>
      </c>
      <c r="AT13" s="12" t="n">
        <f aca="false">COUNTIF(B13:AF13,$B$42)*8</f>
        <v>0</v>
      </c>
      <c r="AU13" s="12" t="n">
        <f aca="false">COUNTIF(B13:AF13,$B$43)*8</f>
        <v>0</v>
      </c>
      <c r="AV13" s="12" t="n">
        <f aca="false">COUNTIF(B13:AF13,$B$44)*8</f>
        <v>0</v>
      </c>
      <c r="AW13" s="12" t="n">
        <f aca="false">COUNTIF(B13:AF13,$B$45)*8</f>
        <v>0</v>
      </c>
      <c r="AX13" s="12" t="n">
        <f aca="false">COUNTIF(B13:AF13,$B$46)*8</f>
        <v>0</v>
      </c>
    </row>
    <row r="14" customFormat="false" ht="13.45" hidden="false" customHeight="false" outlineLevel="0" collapsed="false">
      <c r="A14" s="7" t="s">
        <v>51</v>
      </c>
      <c r="B14" s="10"/>
      <c r="C14" s="9" t="n">
        <v>8</v>
      </c>
      <c r="D14" s="9" t="n">
        <v>8</v>
      </c>
      <c r="E14" s="9" t="n">
        <v>8</v>
      </c>
      <c r="F14" s="9" t="n">
        <v>8</v>
      </c>
      <c r="G14" s="9" t="n">
        <v>8</v>
      </c>
      <c r="H14" s="10"/>
      <c r="I14" s="10"/>
      <c r="J14" s="9" t="n">
        <v>8</v>
      </c>
      <c r="K14" s="9" t="n">
        <v>8</v>
      </c>
      <c r="L14" s="9" t="n">
        <v>8</v>
      </c>
      <c r="M14" s="9" t="n">
        <v>8</v>
      </c>
      <c r="N14" s="9" t="n">
        <v>8</v>
      </c>
      <c r="O14" s="10"/>
      <c r="P14" s="10"/>
      <c r="Q14" s="9" t="n">
        <v>8</v>
      </c>
      <c r="R14" s="9" t="n">
        <v>8</v>
      </c>
      <c r="S14" s="9" t="n">
        <v>8</v>
      </c>
      <c r="T14" s="9" t="n">
        <v>8</v>
      </c>
      <c r="U14" s="9" t="n">
        <v>8</v>
      </c>
      <c r="V14" s="10"/>
      <c r="W14" s="10"/>
      <c r="X14" s="9" t="n">
        <v>8</v>
      </c>
      <c r="Y14" s="9" t="n">
        <v>8</v>
      </c>
      <c r="Z14" s="9" t="n">
        <v>8</v>
      </c>
      <c r="AA14" s="9" t="n">
        <v>8</v>
      </c>
      <c r="AB14" s="9" t="n">
        <v>8</v>
      </c>
      <c r="AC14" s="10"/>
      <c r="AD14" s="14"/>
      <c r="AE14" s="14"/>
      <c r="AF14" s="14"/>
      <c r="AG14" s="11" t="n">
        <f aca="false">SUMPRODUCT(IF(ISNUMBER(B14:AF14),B14:AF14,IF(B14:AF14="8",8,0)))</f>
        <v>160</v>
      </c>
      <c r="AH14" s="12" t="n">
        <f aca="false">SUM(IF(ISNUMBER(B14),B14,IF(B14="8",8,0)),IF(ISNUMBER(H14),H14,IF(H14="8",8,0)),IF(ISNUMBER(I14),I14,IF(I14="8",8,0)),IF(ISNUMBER(O14),O14,IF(O14="8",8,0)),IF(ISNUMBER(P14),P14,IF(P14="8",8,0)),IF(ISNUMBER(V14),V14,IF(V14="8",8,0)),IF(ISNUMBER(W14),W14,IF(W14="8",8,0)),IF(ISNUMBER(AC14),AC14,IF(AC14="8",8,0)))</f>
        <v>0</v>
      </c>
      <c r="AI14" s="13"/>
      <c r="AJ14" s="12" t="n">
        <f aca="false">SUMIF(B14:AF14,"&gt;8")-8*COUNTIF(B14:AF14,"&gt;8")</f>
        <v>0</v>
      </c>
      <c r="AK14" s="12" t="n">
        <f aca="false">COUNTIF(B14:AF14,$B$33)*8</f>
        <v>0</v>
      </c>
      <c r="AL14" s="12" t="n">
        <f aca="false">COUNTIF(B14:AF14,$B$34)*8</f>
        <v>0</v>
      </c>
      <c r="AM14" s="12" t="n">
        <f aca="false">COUNTIF(B14:AF14,$B$35)*8</f>
        <v>0</v>
      </c>
      <c r="AN14" s="12" t="n">
        <f aca="false">COUNTIF(B14:AF14,$B$36)*8</f>
        <v>0</v>
      </c>
      <c r="AO14" s="12" t="n">
        <f aca="false">COUNTIF(B14:AF14,$B$37)*8</f>
        <v>0</v>
      </c>
      <c r="AP14" s="12" t="n">
        <f aca="false">COUNTIF(B14:AF14,$B$38)*8</f>
        <v>0</v>
      </c>
      <c r="AQ14" s="12" t="n">
        <f aca="false">COUNTIF(B14:AF14,$B$39)*8</f>
        <v>0</v>
      </c>
      <c r="AR14" s="12" t="n">
        <f aca="false">COUNTIF(B14:AF14,$B$40)*8</f>
        <v>0</v>
      </c>
      <c r="AS14" s="12" t="n">
        <f aca="false">COUNTIF(B14:AF14,$B$41)*8</f>
        <v>0</v>
      </c>
      <c r="AT14" s="12" t="n">
        <f aca="false">COUNTIF(B14:AF14,$B$42)*8</f>
        <v>0</v>
      </c>
      <c r="AU14" s="12" t="n">
        <f aca="false">COUNTIF(B14:AF14,$B$43)*8</f>
        <v>0</v>
      </c>
      <c r="AV14" s="12" t="n">
        <f aca="false">COUNTIF(B14:AF14,$B$44)*8</f>
        <v>0</v>
      </c>
      <c r="AW14" s="12" t="n">
        <f aca="false">COUNTIF(B14:AF14,$B$45)*8</f>
        <v>0</v>
      </c>
      <c r="AX14" s="12" t="n">
        <f aca="false">COUNTIF(B14:AF14,$B$46)*8</f>
        <v>0</v>
      </c>
    </row>
    <row r="15" customFormat="false" ht="13.45" hidden="false" customHeight="false" outlineLevel="0" collapsed="false">
      <c r="A15" s="7" t="s">
        <v>52</v>
      </c>
      <c r="B15" s="10"/>
      <c r="C15" s="9" t="n">
        <v>8</v>
      </c>
      <c r="D15" s="9" t="n">
        <v>8</v>
      </c>
      <c r="E15" s="9" t="n">
        <v>8</v>
      </c>
      <c r="F15" s="9" t="n">
        <v>8</v>
      </c>
      <c r="G15" s="9" t="n">
        <v>8</v>
      </c>
      <c r="H15" s="10"/>
      <c r="I15" s="10"/>
      <c r="J15" s="9" t="n">
        <v>8</v>
      </c>
      <c r="K15" s="9" t="n">
        <v>8</v>
      </c>
      <c r="L15" s="9" t="n">
        <v>8</v>
      </c>
      <c r="M15" s="9" t="n">
        <v>8</v>
      </c>
      <c r="N15" s="9" t="n">
        <v>8</v>
      </c>
      <c r="O15" s="10"/>
      <c r="P15" s="10"/>
      <c r="Q15" s="9" t="n">
        <v>8</v>
      </c>
      <c r="R15" s="9" t="n">
        <v>8</v>
      </c>
      <c r="S15" s="9" t="n">
        <v>8</v>
      </c>
      <c r="T15" s="9" t="n">
        <v>8</v>
      </c>
      <c r="U15" s="9" t="n">
        <v>8</v>
      </c>
      <c r="V15" s="10"/>
      <c r="W15" s="10"/>
      <c r="X15" s="9" t="n">
        <v>8</v>
      </c>
      <c r="Y15" s="9" t="n">
        <v>8</v>
      </c>
      <c r="Z15" s="9" t="n">
        <v>8</v>
      </c>
      <c r="AA15" s="9" t="n">
        <v>8</v>
      </c>
      <c r="AB15" s="9" t="n">
        <v>8</v>
      </c>
      <c r="AC15" s="10"/>
      <c r="AD15" s="10"/>
      <c r="AE15" s="9" t="n">
        <v>8</v>
      </c>
      <c r="AF15" s="9" t="n">
        <v>8</v>
      </c>
      <c r="AG15" s="11" t="n">
        <f aca="false">SUMPRODUCT(IF(ISNUMBER(B15:AF15),B15:AF15,IF(B15:AF15="8",8,0)))</f>
        <v>176</v>
      </c>
      <c r="AH15" s="12" t="n">
        <f aca="false">SUM(IF(ISNUMBER(B15),B15,IF(B15="8",8,0)),IF(ISNUMBER(H15),H15,IF(H15="8",8,0)),IF(ISNUMBER(I15),I15,IF(I15="8",8,0)),IF(ISNUMBER(O15),O15,IF(O15="8",8,0)),IF(ISNUMBER(P15),P15,IF(P15="8",8,0)),IF(ISNUMBER(V15),V15,IF(V15="8",8,0)),IF(ISNUMBER(W15),W15,IF(W15="8",8,0)),IF(ISNUMBER(AC15),AC15,IF(AC15="8",8,0)),IF(ISNUMBER(AD15),AD15,IF(AD15="8",8,0)))</f>
        <v>0</v>
      </c>
      <c r="AI15" s="13"/>
      <c r="AJ15" s="12" t="n">
        <f aca="false">SUMIF(B15:AF15,"&gt;8")-8*COUNTIF(B15:AF15,"&gt;8")</f>
        <v>0</v>
      </c>
      <c r="AK15" s="12" t="n">
        <f aca="false">COUNTIF(B15:AF15,$B$33)*8</f>
        <v>0</v>
      </c>
      <c r="AL15" s="12" t="n">
        <f aca="false">COUNTIF(B15:AF15,$B$34)*8</f>
        <v>0</v>
      </c>
      <c r="AM15" s="12" t="n">
        <f aca="false">COUNTIF(B15:AF15,$B$35)*8</f>
        <v>0</v>
      </c>
      <c r="AN15" s="12" t="n">
        <f aca="false">COUNTIF(B15:AF15,$B$36)*8</f>
        <v>0</v>
      </c>
      <c r="AO15" s="12" t="n">
        <f aca="false">COUNTIF(B15:AF15,$B$37)*8</f>
        <v>0</v>
      </c>
      <c r="AP15" s="12" t="n">
        <f aca="false">COUNTIF(B15:AF15,$B$38)*8</f>
        <v>0</v>
      </c>
      <c r="AQ15" s="12" t="n">
        <f aca="false">COUNTIF(B15:AF15,$B$39)*8</f>
        <v>0</v>
      </c>
      <c r="AR15" s="12" t="n">
        <f aca="false">COUNTIF(B15:AF15,$B$40)*8</f>
        <v>0</v>
      </c>
      <c r="AS15" s="12" t="n">
        <f aca="false">COUNTIF(B15:AF15,$B$41)*8</f>
        <v>0</v>
      </c>
      <c r="AT15" s="12" t="n">
        <f aca="false">COUNTIF(B15:AF15,$B$42)*8</f>
        <v>0</v>
      </c>
      <c r="AU15" s="12" t="n">
        <f aca="false">COUNTIF(B15:AF15,$B$43)*8</f>
        <v>0</v>
      </c>
      <c r="AV15" s="12" t="n">
        <f aca="false">COUNTIF(B15:AF15,$B$44)*8</f>
        <v>0</v>
      </c>
      <c r="AW15" s="12" t="n">
        <f aca="false">COUNTIF(B15:AF15,$B$45)*8</f>
        <v>0</v>
      </c>
      <c r="AX15" s="12" t="n">
        <f aca="false">COUNTIF(B15:AF15,$B$46)*8</f>
        <v>0</v>
      </c>
    </row>
    <row r="16" customFormat="false" ht="13.45" hidden="false" customHeight="false" outlineLevel="0" collapsed="false">
      <c r="A16" s="7" t="s">
        <v>53</v>
      </c>
      <c r="B16" s="9" t="n">
        <v>8</v>
      </c>
      <c r="C16" s="9" t="n">
        <v>8</v>
      </c>
      <c r="D16" s="9" t="n">
        <v>8</v>
      </c>
      <c r="E16" s="10"/>
      <c r="F16" s="8"/>
      <c r="G16" s="8"/>
      <c r="H16" s="9" t="n">
        <v>8</v>
      </c>
      <c r="I16" s="9" t="n">
        <v>8</v>
      </c>
      <c r="J16" s="9" t="n">
        <v>8</v>
      </c>
      <c r="K16" s="9" t="n">
        <v>8</v>
      </c>
      <c r="L16" s="10"/>
      <c r="M16" s="10"/>
      <c r="N16" s="9" t="n">
        <v>8</v>
      </c>
      <c r="O16" s="9" t="n">
        <v>8</v>
      </c>
      <c r="P16" s="9" t="n">
        <v>8</v>
      </c>
      <c r="Q16" s="9" t="n">
        <v>8</v>
      </c>
      <c r="R16" s="9" t="n">
        <v>8</v>
      </c>
      <c r="S16" s="10"/>
      <c r="T16" s="10"/>
      <c r="U16" s="9" t="n">
        <v>8</v>
      </c>
      <c r="V16" s="9" t="n">
        <v>8</v>
      </c>
      <c r="W16" s="9" t="n">
        <v>8</v>
      </c>
      <c r="X16" s="9" t="n">
        <v>8</v>
      </c>
      <c r="Y16" s="9" t="n">
        <v>8</v>
      </c>
      <c r="Z16" s="10"/>
      <c r="AA16" s="10"/>
      <c r="AB16" s="9" t="n">
        <v>8</v>
      </c>
      <c r="AC16" s="9" t="n">
        <v>8</v>
      </c>
      <c r="AD16" s="9" t="n">
        <v>8</v>
      </c>
      <c r="AE16" s="9" t="n">
        <v>8</v>
      </c>
      <c r="AF16" s="14"/>
      <c r="AG16" s="11" t="n">
        <f aca="false">SUMPRODUCT(IF(ISNUMBER(B16:AF16),B16:AF16,IF(B16:AF16="8",8,0)))</f>
        <v>168</v>
      </c>
      <c r="AH16" s="12" t="n">
        <f aca="false">SUM(IF(ISNUMBER(E16),E16,IF(E16="8",8,0)),IF(ISNUMBER(F16),F16,IF(F16="8",8,0)),IF(ISNUMBER(G16),G16,IF(G16="8",8,0)),IF(ISNUMBER(L16),L16,IF(L16="8",8,0)),IF(ISNUMBER(M16),M16,IF(M16="8",8,0)),IF(ISNUMBER(S16),S16,IF(S16="8",8,0)),IF(ISNUMBER(T16),T16,IF(T16="8",8,0)),IF(ISNUMBER(Z16),Z16,IF(Z16="8",8,0)),IF(ISNUMBER(AA16),AA16,IF(AA16="8",8,0)))</f>
        <v>0</v>
      </c>
      <c r="AI16" s="13"/>
      <c r="AJ16" s="12" t="n">
        <f aca="false">SUMIF(B16:AF16,"&gt;8")-8*COUNTIF(B16:AF16,"&gt;8")</f>
        <v>0</v>
      </c>
      <c r="AK16" s="12" t="n">
        <f aca="false">COUNTIF(B16:AF16,$B$33)*8</f>
        <v>0</v>
      </c>
      <c r="AL16" s="12" t="n">
        <f aca="false">COUNTIF(B16:AF16,$B$34)*8</f>
        <v>0</v>
      </c>
      <c r="AM16" s="12" t="n">
        <f aca="false">COUNTIF(B16:AF16,$B$35)*8</f>
        <v>0</v>
      </c>
      <c r="AN16" s="12" t="n">
        <f aca="false">COUNTIF(B16:AF16,$B$36)*8</f>
        <v>0</v>
      </c>
      <c r="AO16" s="12" t="n">
        <f aca="false">COUNTIF(B16:AF16,$B$37)*8</f>
        <v>0</v>
      </c>
      <c r="AP16" s="12" t="n">
        <f aca="false">COUNTIF(B16:AF16,$B$38)*8</f>
        <v>0</v>
      </c>
      <c r="AQ16" s="12" t="n">
        <f aca="false">COUNTIF(B16:AF16,$B$39)*8</f>
        <v>0</v>
      </c>
      <c r="AR16" s="12" t="n">
        <f aca="false">COUNTIF(B16:AF16,$B$40)*8</f>
        <v>0</v>
      </c>
      <c r="AS16" s="12" t="n">
        <f aca="false">COUNTIF(B16:AF16,$B$41)*8</f>
        <v>0</v>
      </c>
      <c r="AT16" s="12" t="n">
        <f aca="false">COUNTIF(B16:AF16,$B$42)*8</f>
        <v>0</v>
      </c>
      <c r="AU16" s="12" t="n">
        <f aca="false">COUNTIF(B16:AF16,$B$43)*8</f>
        <v>0</v>
      </c>
      <c r="AV16" s="12" t="n">
        <f aca="false">COUNTIF(B16:AF16,$B$44)*8</f>
        <v>0</v>
      </c>
      <c r="AW16" s="12" t="n">
        <f aca="false">COUNTIF(B16:AF16,$B$45)*8</f>
        <v>0</v>
      </c>
      <c r="AX16" s="12" t="n">
        <f aca="false">COUNTIF(B16:AF16,$B$46)*8</f>
        <v>0</v>
      </c>
    </row>
    <row r="17" customFormat="false" ht="13.45" hidden="false" customHeight="false" outlineLevel="0" collapsed="false">
      <c r="A17" s="7" t="s">
        <v>54</v>
      </c>
      <c r="B17" s="8"/>
      <c r="C17" s="10"/>
      <c r="D17" s="8"/>
      <c r="E17" s="9" t="n">
        <v>8</v>
      </c>
      <c r="F17" s="9" t="n">
        <v>8</v>
      </c>
      <c r="G17" s="9" t="n">
        <v>8</v>
      </c>
      <c r="H17" s="9" t="n">
        <v>8</v>
      </c>
      <c r="I17" s="9" t="n">
        <v>8</v>
      </c>
      <c r="J17" s="10"/>
      <c r="K17" s="10"/>
      <c r="L17" s="9" t="n">
        <v>8</v>
      </c>
      <c r="M17" s="9" t="n">
        <v>8</v>
      </c>
      <c r="N17" s="9" t="n">
        <v>8</v>
      </c>
      <c r="O17" s="9" t="n">
        <v>8</v>
      </c>
      <c r="P17" s="9" t="n">
        <v>8</v>
      </c>
      <c r="Q17" s="10"/>
      <c r="R17" s="10"/>
      <c r="S17" s="9" t="n">
        <v>8</v>
      </c>
      <c r="T17" s="9" t="n">
        <v>8</v>
      </c>
      <c r="U17" s="9" t="n">
        <v>8</v>
      </c>
      <c r="V17" s="9" t="n">
        <v>8</v>
      </c>
      <c r="W17" s="9" t="n">
        <v>8</v>
      </c>
      <c r="X17" s="10"/>
      <c r="Y17" s="10"/>
      <c r="Z17" s="9" t="n">
        <v>8</v>
      </c>
      <c r="AA17" s="9" t="n">
        <v>8</v>
      </c>
      <c r="AB17" s="9" t="n">
        <v>8</v>
      </c>
      <c r="AC17" s="9" t="n">
        <v>8</v>
      </c>
      <c r="AD17" s="9" t="n">
        <v>8</v>
      </c>
      <c r="AE17" s="10"/>
      <c r="AF17" s="10"/>
      <c r="AG17" s="11" t="n">
        <f aca="false">SUMPRODUCT(IF(ISNUMBER(B17:AF17),B17:AF17,IF(B17:AF17="8",8,0)))</f>
        <v>160</v>
      </c>
      <c r="AH17" s="12" t="n">
        <f aca="false">SUM(IF(ISNUMBER(B17),B17,IF(B17="8",8,0)),IF(ISNUMBER(C17),C17,IF(C17="8",8,0)),IF(ISNUMBER(D17),D17,IF(D17="8",8,0)),IF(ISNUMBER(J17),J17,IF(J17="8",8,0)),IF(ISNUMBER(K17),K17,IF(K17="8",8,0)),IF(ISNUMBER(Q17),Q17,IF(Q17="8",8,0)),IF(ISNUMBER(R17),R17,IF(R17="8",8,0)),IF(ISNUMBER(X17),X17,IF(X17="8",8,0)),IF(ISNUMBER(Y17),Y17,IF(Y17="8",8,0)),IF(ISNUMBER(AE17),AE17,IF(AE17="8",8,0)),IF(ISNUMBER(AF17),AF17,IF(AF17="8",8,0)))</f>
        <v>0</v>
      </c>
      <c r="AI17" s="13"/>
      <c r="AJ17" s="12" t="n">
        <f aca="false">SUMIF(B17:AF17,"&gt;8")-8*COUNTIF(B17:AF17,"&gt;8")</f>
        <v>0</v>
      </c>
      <c r="AK17" s="12" t="n">
        <f aca="false">COUNTIF(B17:AF17,$B$33)*8</f>
        <v>0</v>
      </c>
      <c r="AL17" s="12" t="n">
        <f aca="false">COUNTIF(B17:AF17,$B$34)*8</f>
        <v>0</v>
      </c>
      <c r="AM17" s="12" t="n">
        <f aca="false">COUNTIF(B17:AF17,$B$35)*8</f>
        <v>0</v>
      </c>
      <c r="AN17" s="12" t="n">
        <f aca="false">COUNTIF(B17:AF17,$B$36)*8</f>
        <v>0</v>
      </c>
      <c r="AO17" s="12" t="n">
        <f aca="false">COUNTIF(B17:AF17,$B$37)*8</f>
        <v>0</v>
      </c>
      <c r="AP17" s="12" t="n">
        <f aca="false">COUNTIF(B17:AF17,$B$38)*8</f>
        <v>0</v>
      </c>
      <c r="AQ17" s="12" t="n">
        <f aca="false">COUNTIF(B17:AF17,$B$39)*8</f>
        <v>0</v>
      </c>
      <c r="AR17" s="12" t="n">
        <f aca="false">COUNTIF(B17:AF17,$B$40)*8</f>
        <v>0</v>
      </c>
      <c r="AS17" s="12" t="n">
        <f aca="false">COUNTIF(B17:AF17,$B$41)*8</f>
        <v>0</v>
      </c>
      <c r="AT17" s="12" t="n">
        <f aca="false">COUNTIF(B17:AF17,$B$42)*8</f>
        <v>0</v>
      </c>
      <c r="AU17" s="12" t="n">
        <f aca="false">COUNTIF(B17:AF17,$B$43)*8</f>
        <v>0</v>
      </c>
      <c r="AV17" s="12" t="n">
        <f aca="false">COUNTIF(B17:AF17,$B$44)*8</f>
        <v>0</v>
      </c>
      <c r="AW17" s="12" t="n">
        <f aca="false">COUNTIF(B17:AF17,$B$45)*8</f>
        <v>0</v>
      </c>
      <c r="AX17" s="12" t="n">
        <f aca="false">COUNTIF(B17:AF17,$B$46)*8</f>
        <v>0</v>
      </c>
    </row>
    <row r="18" customFormat="false" ht="13.45" hidden="false" customHeight="false" outlineLevel="0" collapsed="false">
      <c r="A18" s="7" t="s">
        <v>55</v>
      </c>
      <c r="B18" s="9" t="n">
        <v>8</v>
      </c>
      <c r="C18" s="9" t="n">
        <v>8</v>
      </c>
      <c r="D18" s="9" t="n">
        <v>8</v>
      </c>
      <c r="E18" s="8"/>
      <c r="F18" s="9" t="n">
        <v>8</v>
      </c>
      <c r="G18" s="10"/>
      <c r="H18" s="10"/>
      <c r="I18" s="9" t="n">
        <v>8</v>
      </c>
      <c r="J18" s="9" t="n">
        <v>8</v>
      </c>
      <c r="K18" s="9" t="n">
        <v>8</v>
      </c>
      <c r="L18" s="9" t="n">
        <v>8</v>
      </c>
      <c r="M18" s="9" t="n">
        <v>8</v>
      </c>
      <c r="N18" s="10"/>
      <c r="O18" s="10"/>
      <c r="P18" s="9" t="n">
        <v>8</v>
      </c>
      <c r="Q18" s="9" t="n">
        <v>8</v>
      </c>
      <c r="R18" s="9" t="n">
        <v>8</v>
      </c>
      <c r="S18" s="9" t="n">
        <v>8</v>
      </c>
      <c r="T18" s="9" t="n">
        <v>8</v>
      </c>
      <c r="U18" s="10"/>
      <c r="V18" s="10"/>
      <c r="W18" s="9" t="n">
        <v>8</v>
      </c>
      <c r="X18" s="9" t="n">
        <v>8</v>
      </c>
      <c r="Y18" s="9" t="n">
        <v>8</v>
      </c>
      <c r="Z18" s="9" t="n">
        <v>8</v>
      </c>
      <c r="AA18" s="9" t="n">
        <v>8</v>
      </c>
      <c r="AB18" s="10"/>
      <c r="AC18" s="10"/>
      <c r="AD18" s="9" t="n">
        <v>8</v>
      </c>
      <c r="AE18" s="9" t="n">
        <v>8</v>
      </c>
      <c r="AF18" s="14"/>
      <c r="AG18" s="11" t="n">
        <f aca="false">SUMPRODUCT(IF(ISNUMBER(B18:AF18),B18:AF18,IF(B18:AF18="8",8,0)))</f>
        <v>168</v>
      </c>
      <c r="AH18" s="12" t="n">
        <f aca="false">SUM(IF(ISNUMBER(E18),E18,IF(E18="8",8,0)),IF(ISNUMBER(G18),G18,IF(G18="8",8,0)),IF(ISNUMBER(H18),H18,IF(H18="8",8,0)),IF(ISNUMBER(N18),N18,IF(N18="8",8,0)),IF(ISNUMBER(O18),O18,IF(O18="8",8,0)),IF(ISNUMBER(U18),U18,IF(U18="8",8,0)),IF(ISNUMBER(V18),V18,IF(V18="8",8,0)),IF(ISNUMBER(AB18),AB18,IF(AB18="8",8,0)),IF(ISNUMBER(AC18),AC18,IF(AC18="8",8,0)))</f>
        <v>0</v>
      </c>
      <c r="AI18" s="13"/>
      <c r="AJ18" s="12" t="n">
        <f aca="false">SUMIF(B18:AF18,"&gt;8")-8*COUNTIF(B18:AF18,"&gt;8")</f>
        <v>0</v>
      </c>
      <c r="AK18" s="12" t="n">
        <f aca="false">COUNTIF(B18:AF18,$B$33)*8</f>
        <v>0</v>
      </c>
      <c r="AL18" s="12" t="n">
        <f aca="false">COUNTIF(B18:AF18,$B$34)*8</f>
        <v>0</v>
      </c>
      <c r="AM18" s="12" t="n">
        <f aca="false">COUNTIF(B18:AF18,$B$35)*8</f>
        <v>0</v>
      </c>
      <c r="AN18" s="12" t="n">
        <f aca="false">COUNTIF(B18:AF18,$B$36)*8</f>
        <v>0</v>
      </c>
      <c r="AO18" s="12" t="n">
        <f aca="false">COUNTIF(B18:AF18,$B$37)*8</f>
        <v>0</v>
      </c>
      <c r="AP18" s="12" t="n">
        <f aca="false">COUNTIF(B18:AF18,$B$38)*8</f>
        <v>0</v>
      </c>
      <c r="AQ18" s="12" t="n">
        <f aca="false">COUNTIF(B18:AF18,$B$39)*8</f>
        <v>0</v>
      </c>
      <c r="AR18" s="12" t="n">
        <f aca="false">COUNTIF(B18:AF18,$B$40)*8</f>
        <v>0</v>
      </c>
      <c r="AS18" s="12" t="n">
        <f aca="false">COUNTIF(B18:AF18,$B$41)*8</f>
        <v>0</v>
      </c>
      <c r="AT18" s="12" t="n">
        <f aca="false">COUNTIF(B18:AF18,$B$42)*8</f>
        <v>0</v>
      </c>
      <c r="AU18" s="12" t="n">
        <f aca="false">COUNTIF(B18:AF18,$B$43)*8</f>
        <v>0</v>
      </c>
      <c r="AV18" s="12" t="n">
        <f aca="false">COUNTIF(B18:AF18,$B$44)*8</f>
        <v>0</v>
      </c>
      <c r="AW18" s="12" t="n">
        <f aca="false">COUNTIF(B18:AF18,$B$45)*8</f>
        <v>0</v>
      </c>
      <c r="AX18" s="12" t="n">
        <f aca="false">COUNTIF(B18:AF18,$B$46)*8</f>
        <v>0</v>
      </c>
    </row>
    <row r="19" customFormat="false" ht="13.45" hidden="false" customHeight="false" outlineLevel="0" collapsed="false">
      <c r="A19" s="7" t="s">
        <v>56</v>
      </c>
      <c r="B19" s="9" t="n">
        <v>8</v>
      </c>
      <c r="C19" s="9" t="n">
        <v>8</v>
      </c>
      <c r="D19" s="9" t="n">
        <v>8</v>
      </c>
      <c r="E19" s="10"/>
      <c r="F19" s="10"/>
      <c r="G19" s="9" t="n">
        <v>8</v>
      </c>
      <c r="H19" s="9" t="n">
        <v>8</v>
      </c>
      <c r="I19" s="9" t="n">
        <v>8</v>
      </c>
      <c r="J19" s="9" t="n">
        <v>8</v>
      </c>
      <c r="K19" s="9" t="n">
        <v>8</v>
      </c>
      <c r="L19" s="10"/>
      <c r="M19" s="10"/>
      <c r="N19" s="9" t="n">
        <v>8</v>
      </c>
      <c r="O19" s="9" t="n">
        <v>8</v>
      </c>
      <c r="P19" s="9" t="n">
        <v>8</v>
      </c>
      <c r="Q19" s="9" t="n">
        <v>8</v>
      </c>
      <c r="R19" s="9" t="n">
        <v>8</v>
      </c>
      <c r="S19" s="10"/>
      <c r="T19" s="10"/>
      <c r="U19" s="9" t="n">
        <v>8</v>
      </c>
      <c r="V19" s="9" t="n">
        <v>8</v>
      </c>
      <c r="W19" s="9" t="n">
        <v>8</v>
      </c>
      <c r="X19" s="9" t="n">
        <v>8</v>
      </c>
      <c r="Y19" s="9" t="n">
        <v>8</v>
      </c>
      <c r="Z19" s="10"/>
      <c r="AA19" s="10"/>
      <c r="AB19" s="9" t="n">
        <v>8</v>
      </c>
      <c r="AC19" s="9" t="n">
        <v>8</v>
      </c>
      <c r="AD19" s="9" t="n">
        <v>8</v>
      </c>
      <c r="AE19" s="9" t="n">
        <v>8</v>
      </c>
      <c r="AF19" s="9" t="n">
        <v>8</v>
      </c>
      <c r="AG19" s="11" t="n">
        <f aca="false">SUMPRODUCT(IF(ISNUMBER(B19:AF19),B19:AF19,IF(B19:AF19="8",8,0)))</f>
        <v>184</v>
      </c>
      <c r="AH19" s="12" t="n">
        <f aca="false">SUM(IF(ISNUMBER(E19),E19,IF(E19="8",8,0)),IF(ISNUMBER(F19),F19,IF(F19="8",8,0)),IF(ISNUMBER(L19),L19,IF(L19="8",8,0)),IF(ISNUMBER(M19),M19,IF(M19="8",8,0)),IF(ISNUMBER(S19),S19,IF(S19="8",8,0)),IF(ISNUMBER(T19),T19,IF(T19="8",8,0)),IF(ISNUMBER(Z19),Z19,IF(Z19="8",8,0)),IF(ISNUMBER(AA19),AA19,IF(AA19="8",8,0)))</f>
        <v>0</v>
      </c>
      <c r="AI19" s="13"/>
      <c r="AJ19" s="12" t="n">
        <f aca="false">SUMIF(B19:AF19,"&gt;8")-8*COUNTIF(B19:AF19,"&gt;8")</f>
        <v>0</v>
      </c>
      <c r="AK19" s="12" t="n">
        <f aca="false">COUNTIF(B19:AF19,$B$33)*8</f>
        <v>0</v>
      </c>
      <c r="AL19" s="12" t="n">
        <f aca="false">COUNTIF(B19:AF19,$B$34)*8</f>
        <v>0</v>
      </c>
      <c r="AM19" s="12" t="n">
        <f aca="false">COUNTIF(B19:AF19,$B$35)*8</f>
        <v>0</v>
      </c>
      <c r="AN19" s="12" t="n">
        <f aca="false">COUNTIF(B19:AF19,$B$36)*8</f>
        <v>0</v>
      </c>
      <c r="AO19" s="12" t="n">
        <f aca="false">COUNTIF(B19:AF19,$B$37)*8</f>
        <v>0</v>
      </c>
      <c r="AP19" s="12" t="n">
        <f aca="false">COUNTIF(B19:AF19,$B$38)*8</f>
        <v>0</v>
      </c>
      <c r="AQ19" s="12" t="n">
        <f aca="false">COUNTIF(B19:AF19,$B$39)*8</f>
        <v>0</v>
      </c>
      <c r="AR19" s="12" t="n">
        <f aca="false">COUNTIF(B19:AF19,$B$40)*8</f>
        <v>0</v>
      </c>
      <c r="AS19" s="12" t="n">
        <f aca="false">COUNTIF(B19:AF19,$B$41)*8</f>
        <v>0</v>
      </c>
      <c r="AT19" s="12" t="n">
        <f aca="false">COUNTIF(B19:AF19,$B$42)*8</f>
        <v>0</v>
      </c>
      <c r="AU19" s="12" t="n">
        <f aca="false">COUNTIF(B19:AF19,$B$43)*8</f>
        <v>0</v>
      </c>
      <c r="AV19" s="12" t="n">
        <f aca="false">COUNTIF(B19:AF19,$B$44)*8</f>
        <v>0</v>
      </c>
      <c r="AW19" s="12" t="n">
        <f aca="false">COUNTIF(B19:AF19,$B$45)*8</f>
        <v>0</v>
      </c>
      <c r="AX19" s="12" t="n">
        <f aca="false">COUNTIF(B19:AF19,$B$46)*8</f>
        <v>0</v>
      </c>
    </row>
    <row r="20" customFormat="false" ht="13.45" hidden="false" customHeight="false" outlineLevel="0" collapsed="false">
      <c r="A20" s="7" t="s">
        <v>57</v>
      </c>
      <c r="B20" s="10"/>
      <c r="C20" s="10"/>
      <c r="D20" s="9" t="n">
        <v>8</v>
      </c>
      <c r="E20" s="9" t="n">
        <v>8</v>
      </c>
      <c r="F20" s="9" t="n">
        <v>8</v>
      </c>
      <c r="G20" s="9" t="n">
        <v>8</v>
      </c>
      <c r="H20" s="9" t="n">
        <v>8</v>
      </c>
      <c r="I20" s="10"/>
      <c r="J20" s="10"/>
      <c r="K20" s="9" t="n">
        <v>8</v>
      </c>
      <c r="L20" s="9" t="n">
        <v>8</v>
      </c>
      <c r="M20" s="9" t="n">
        <v>8</v>
      </c>
      <c r="N20" s="9" t="n">
        <v>8</v>
      </c>
      <c r="O20" s="9" t="n">
        <v>8</v>
      </c>
      <c r="P20" s="8"/>
      <c r="Q20" s="10"/>
      <c r="R20" s="9" t="n">
        <v>8</v>
      </c>
      <c r="S20" s="9" t="n">
        <v>8</v>
      </c>
      <c r="T20" s="9" t="n">
        <v>8</v>
      </c>
      <c r="U20" s="9" t="n">
        <v>8</v>
      </c>
      <c r="V20" s="9" t="n">
        <v>8</v>
      </c>
      <c r="W20" s="10"/>
      <c r="X20" s="10"/>
      <c r="Y20" s="9" t="n">
        <v>8</v>
      </c>
      <c r="Z20" s="9" t="n">
        <v>8</v>
      </c>
      <c r="AA20" s="9" t="n">
        <v>8</v>
      </c>
      <c r="AB20" s="9" t="n">
        <v>8</v>
      </c>
      <c r="AC20" s="9" t="n">
        <v>8</v>
      </c>
      <c r="AD20" s="10"/>
      <c r="AE20" s="10"/>
      <c r="AF20" s="9" t="n">
        <v>8</v>
      </c>
      <c r="AG20" s="11" t="n">
        <f aca="false">SUMPRODUCT(IF(ISNUMBER(B20:AF20),B20:AF20,IF(B20:AF20="8",8,0)))</f>
        <v>168</v>
      </c>
      <c r="AH20" s="12" t="n">
        <f aca="false">SUM(IF(ISNUMBER(B20),B20,IF(B20="8",8,0)),IF(ISNUMBER(C20),C20,IF(C20="8",8,0)),IF(ISNUMBER(I20),I20,IF(I20="8",8,0)),IF(ISNUMBER(J20),J20,IF(J20="8",8,0)),IF(ISNUMBER(P20),P20,IF(P20="8",8,0)),IF(ISNUMBER(Q20),Q20,IF(Q20="8",8,0)),IF(ISNUMBER(W20),W20,IF(W20="8",8,0)),IF(ISNUMBER(X20),X20,IF(X20="8",8,0)),IF(ISNUMBER(AD20),AD20,IF(AD20="8",8,0)),IF(ISNUMBER(AE20),AE20,IF(AE20="8",8,0)))</f>
        <v>0</v>
      </c>
      <c r="AI20" s="13"/>
      <c r="AJ20" s="12" t="n">
        <f aca="false">SUMIF(B20:AF20,"&gt;8")-8*COUNTIF(B20:AF20,"&gt;8")</f>
        <v>0</v>
      </c>
      <c r="AK20" s="12" t="n">
        <f aca="false">COUNTIF(B20:AF20,$B$33)*8</f>
        <v>0</v>
      </c>
      <c r="AL20" s="12" t="n">
        <f aca="false">COUNTIF(B20:AF20,$B$34)*8</f>
        <v>0</v>
      </c>
      <c r="AM20" s="12" t="n">
        <f aca="false">COUNTIF(B20:AF20,$B$35)*8</f>
        <v>0</v>
      </c>
      <c r="AN20" s="12" t="n">
        <f aca="false">COUNTIF(B20:AF20,$B$36)*8</f>
        <v>0</v>
      </c>
      <c r="AO20" s="12" t="n">
        <f aca="false">COUNTIF(B20:AF20,$B$37)*8</f>
        <v>0</v>
      </c>
      <c r="AP20" s="12" t="n">
        <f aca="false">COUNTIF(B20:AF20,$B$38)*8</f>
        <v>0</v>
      </c>
      <c r="AQ20" s="12" t="n">
        <f aca="false">COUNTIF(B20:AF20,$B$39)*8</f>
        <v>0</v>
      </c>
      <c r="AR20" s="12" t="n">
        <f aca="false">COUNTIF(B20:AF20,$B$40)*8</f>
        <v>0</v>
      </c>
      <c r="AS20" s="12" t="n">
        <f aca="false">COUNTIF(B20:AF20,$B$41)*8</f>
        <v>0</v>
      </c>
      <c r="AT20" s="12" t="n">
        <f aca="false">COUNTIF(B20:AF20,$B$42)*8</f>
        <v>0</v>
      </c>
      <c r="AU20" s="12" t="n">
        <f aca="false">COUNTIF(B20:AF20,$B$43)*8</f>
        <v>0</v>
      </c>
      <c r="AV20" s="12" t="n">
        <f aca="false">COUNTIF(B20:AF20,$B$44)*8</f>
        <v>0</v>
      </c>
      <c r="AW20" s="12" t="n">
        <f aca="false">COUNTIF(B20:AF20,$B$45)*8</f>
        <v>0</v>
      </c>
      <c r="AX20" s="12" t="n">
        <f aca="false">COUNTIF(B20:AF20,$B$46)*8</f>
        <v>0</v>
      </c>
    </row>
    <row r="21" customFormat="false" ht="13.45" hidden="false" customHeight="false" outlineLevel="0" collapsed="false">
      <c r="A21" s="7" t="s">
        <v>58</v>
      </c>
      <c r="B21" s="9" t="n">
        <v>8</v>
      </c>
      <c r="C21" s="9" t="n">
        <v>8</v>
      </c>
      <c r="D21" s="9" t="n">
        <v>8</v>
      </c>
      <c r="E21" s="9" t="n">
        <v>8</v>
      </c>
      <c r="F21" s="10"/>
      <c r="G21" s="10"/>
      <c r="H21" s="9" t="n">
        <v>8</v>
      </c>
      <c r="I21" s="9" t="n">
        <v>8</v>
      </c>
      <c r="J21" s="9" t="n">
        <v>8</v>
      </c>
      <c r="K21" s="9" t="n">
        <v>8</v>
      </c>
      <c r="L21" s="9" t="n">
        <v>8</v>
      </c>
      <c r="M21" s="10"/>
      <c r="N21" s="10"/>
      <c r="O21" s="9" t="n">
        <v>8</v>
      </c>
      <c r="P21" s="9" t="n">
        <v>8</v>
      </c>
      <c r="Q21" s="9" t="n">
        <v>8</v>
      </c>
      <c r="R21" s="9" t="n">
        <v>8</v>
      </c>
      <c r="S21" s="9" t="n">
        <v>8</v>
      </c>
      <c r="T21" s="10"/>
      <c r="U21" s="10"/>
      <c r="V21" s="9" t="n">
        <v>8</v>
      </c>
      <c r="W21" s="9" t="n">
        <v>8</v>
      </c>
      <c r="X21" s="9" t="n">
        <v>8</v>
      </c>
      <c r="Y21" s="9" t="n">
        <v>8</v>
      </c>
      <c r="Z21" s="9" t="n">
        <v>8</v>
      </c>
      <c r="AA21" s="10"/>
      <c r="AB21" s="10"/>
      <c r="AC21" s="9" t="n">
        <v>8</v>
      </c>
      <c r="AD21" s="9" t="n">
        <v>8</v>
      </c>
      <c r="AE21" s="9" t="n">
        <v>8</v>
      </c>
      <c r="AF21" s="14"/>
      <c r="AG21" s="11" t="n">
        <f aca="false">SUMPRODUCT(IF(ISNUMBER(B21:AF21),B21:AF21,IF(B21:AF21="8",8,0)))</f>
        <v>176</v>
      </c>
      <c r="AH21" s="12" t="n">
        <f aca="false">SUM(IF(ISNUMBER(F21),F21,IF(F21="8",8,0)),IF(ISNUMBER(G21),G21,IF(G21="8",8,0)),IF(ISNUMBER(M21),M21,IF(M21="8",8,0)),IF(ISNUMBER(N21),N21,IF(N21="8",8,0)),IF(ISNUMBER(T21),T21,IF(T21="8",8,0)),IF(ISNUMBER(U21),U21,IF(U21="8",8,0)),IF(ISNUMBER(AA21),AA21,IF(AA21="8",8,0)),IF(ISNUMBER(AB21),AB21,IF(AB21="8",8,0)))</f>
        <v>0</v>
      </c>
      <c r="AI21" s="13"/>
      <c r="AJ21" s="12" t="n">
        <f aca="false">SUMIF(B21:AF21,"&gt;8")-8*COUNTIF(B21:AF21,"&gt;8")</f>
        <v>0</v>
      </c>
      <c r="AK21" s="12" t="n">
        <f aca="false">COUNTIF(B21:AF21,$B$33)*8</f>
        <v>0</v>
      </c>
      <c r="AL21" s="12" t="n">
        <f aca="false">COUNTIF(B21:AF21,$B$34)*8</f>
        <v>0</v>
      </c>
      <c r="AM21" s="12" t="n">
        <f aca="false">COUNTIF(B21:AF21,$B$35)*8</f>
        <v>0</v>
      </c>
      <c r="AN21" s="12" t="n">
        <f aca="false">COUNTIF(B21:AF21,$B$36)*8</f>
        <v>0</v>
      </c>
      <c r="AO21" s="12" t="n">
        <f aca="false">COUNTIF(B21:AF21,$B$37)*8</f>
        <v>0</v>
      </c>
      <c r="AP21" s="12" t="n">
        <f aca="false">COUNTIF(B21:AF21,$B$38)*8</f>
        <v>0</v>
      </c>
      <c r="AQ21" s="12" t="n">
        <f aca="false">COUNTIF(B21:AF21,$B$39)*8</f>
        <v>0</v>
      </c>
      <c r="AR21" s="12" t="n">
        <f aca="false">COUNTIF(B21:AF21,$B$40)*8</f>
        <v>0</v>
      </c>
      <c r="AS21" s="12" t="n">
        <f aca="false">COUNTIF(B21:AF21,$B$41)*8</f>
        <v>0</v>
      </c>
      <c r="AT21" s="12" t="n">
        <f aca="false">COUNTIF(B21:AF21,$B$42)*8</f>
        <v>0</v>
      </c>
      <c r="AU21" s="12" t="n">
        <f aca="false">COUNTIF(B21:AF21,$B$43)*8</f>
        <v>0</v>
      </c>
      <c r="AV21" s="12" t="n">
        <f aca="false">COUNTIF(B21:AF21,$B$44)*8</f>
        <v>0</v>
      </c>
      <c r="AW21" s="12" t="n">
        <f aca="false">COUNTIF(B21:AF21,$B$45)*8</f>
        <v>0</v>
      </c>
      <c r="AX21" s="12" t="n">
        <f aca="false">COUNTIF(B21:AF21,$B$46)*8</f>
        <v>0</v>
      </c>
    </row>
    <row r="22" customFormat="false" ht="13.45" hidden="false" customHeight="false" outlineLevel="0" collapsed="false">
      <c r="A22" s="7" t="s">
        <v>59</v>
      </c>
      <c r="B22" s="9" t="n">
        <v>8</v>
      </c>
      <c r="C22" s="9" t="n">
        <v>8</v>
      </c>
      <c r="D22" s="10"/>
      <c r="E22" s="10"/>
      <c r="F22" s="9" t="n">
        <v>8</v>
      </c>
      <c r="G22" s="9" t="n">
        <v>8</v>
      </c>
      <c r="H22" s="9" t="n">
        <v>8</v>
      </c>
      <c r="I22" s="9" t="n">
        <v>8</v>
      </c>
      <c r="J22" s="9" t="n">
        <v>8</v>
      </c>
      <c r="K22" s="10"/>
      <c r="L22" s="10"/>
      <c r="M22" s="9" t="n">
        <v>8</v>
      </c>
      <c r="N22" s="9" t="n">
        <v>8</v>
      </c>
      <c r="O22" s="9" t="n">
        <v>8</v>
      </c>
      <c r="P22" s="9" t="n">
        <v>8</v>
      </c>
      <c r="Q22" s="9" t="n">
        <v>8</v>
      </c>
      <c r="R22" s="10"/>
      <c r="S22" s="10"/>
      <c r="T22" s="9" t="n">
        <v>8</v>
      </c>
      <c r="U22" s="9" t="n">
        <v>8</v>
      </c>
      <c r="V22" s="9" t="n">
        <v>8</v>
      </c>
      <c r="W22" s="9" t="n">
        <v>8</v>
      </c>
      <c r="X22" s="9" t="n">
        <v>8</v>
      </c>
      <c r="Y22" s="10"/>
      <c r="Z22" s="10"/>
      <c r="AA22" s="9" t="n">
        <v>8</v>
      </c>
      <c r="AB22" s="9" t="n">
        <v>8</v>
      </c>
      <c r="AC22" s="9" t="n">
        <v>8</v>
      </c>
      <c r="AD22" s="9" t="n">
        <v>8</v>
      </c>
      <c r="AE22" s="9" t="n">
        <v>8</v>
      </c>
      <c r="AF22" s="10"/>
      <c r="AG22" s="11" t="n">
        <f aca="false">SUMPRODUCT(IF(ISNUMBER(B22:AF22),B22:AF22,IF(B22:AF22="8",8,0)))</f>
        <v>176</v>
      </c>
      <c r="AH22" s="12" t="n">
        <f aca="false">SUM(IF(ISNUMBER(D22),D22,IF(D22="8",8,0)),IF(ISNUMBER(E22),E22,IF(E22="8",8,0)),IF(ISNUMBER(K22),K22,IF(K22="8",8,0)),IF(ISNUMBER(L22),L22,IF(L22="8",8,0)),IF(ISNUMBER(R22),R22,IF(R22="8",8,0)),IF(ISNUMBER(S22),S22,IF(S22="8",8,0)),IF(ISNUMBER(Y22),Y22,IF(Y22="8",8,0)),IF(ISNUMBER(Z22),Z22,IF(Z22="8",8,0)),IF(ISNUMBER(AF22),AF22,IF(AF22="8",8,0)))</f>
        <v>0</v>
      </c>
      <c r="AI22" s="13"/>
      <c r="AJ22" s="12" t="n">
        <f aca="false">SUMIF(B22:AF22,"&gt;8")-8*COUNTIF(B22:AF22,"&gt;8")</f>
        <v>0</v>
      </c>
      <c r="AK22" s="12" t="n">
        <f aca="false">COUNTIF(B22:AF22,$B$33)*8</f>
        <v>0</v>
      </c>
      <c r="AL22" s="12" t="n">
        <f aca="false">COUNTIF(B22:AF22,$B$34)*8</f>
        <v>0</v>
      </c>
      <c r="AM22" s="12" t="n">
        <f aca="false">COUNTIF(B22:AF22,$B$35)*8</f>
        <v>0</v>
      </c>
      <c r="AN22" s="12" t="n">
        <f aca="false">COUNTIF(B22:AF22,$B$36)*8</f>
        <v>0</v>
      </c>
      <c r="AO22" s="12" t="n">
        <f aca="false">COUNTIF(B22:AF22,$B$37)*8</f>
        <v>0</v>
      </c>
      <c r="AP22" s="12" t="n">
        <f aca="false">COUNTIF(B22:AF22,$B$38)*8</f>
        <v>0</v>
      </c>
      <c r="AQ22" s="12" t="n">
        <f aca="false">COUNTIF(B22:AF22,$B$39)*8</f>
        <v>0</v>
      </c>
      <c r="AR22" s="12" t="n">
        <f aca="false">COUNTIF(B22:AF22,$B$40)*8</f>
        <v>0</v>
      </c>
      <c r="AS22" s="12" t="n">
        <f aca="false">COUNTIF(B22:AF22,$B$41)*8</f>
        <v>0</v>
      </c>
      <c r="AT22" s="12" t="n">
        <f aca="false">COUNTIF(B22:AF22,$B$42)*8</f>
        <v>0</v>
      </c>
      <c r="AU22" s="12" t="n">
        <f aca="false">COUNTIF(B22:AF22,$B$43)*8</f>
        <v>0</v>
      </c>
      <c r="AV22" s="12" t="n">
        <f aca="false">COUNTIF(B22:AF22,$B$44)*8</f>
        <v>0</v>
      </c>
      <c r="AW22" s="12" t="n">
        <f aca="false">COUNTIF(B22:AF22,$B$45)*8</f>
        <v>0</v>
      </c>
      <c r="AX22" s="12" t="n">
        <f aca="false">COUNTIF(B22:AF22,$B$46)*8</f>
        <v>0</v>
      </c>
    </row>
    <row r="23" customFormat="false" ht="13.45" hidden="false" customHeight="false" outlineLevel="0" collapsed="false">
      <c r="A23" s="7" t="s">
        <v>60</v>
      </c>
      <c r="B23" s="8"/>
      <c r="C23" s="9" t="n">
        <v>8</v>
      </c>
      <c r="D23" s="9" t="n">
        <v>8</v>
      </c>
      <c r="E23" s="9" t="n">
        <v>8</v>
      </c>
      <c r="F23" s="9" t="n">
        <v>8</v>
      </c>
      <c r="G23" s="9" t="n">
        <v>8</v>
      </c>
      <c r="H23" s="10"/>
      <c r="I23" s="10"/>
      <c r="J23" s="9" t="n">
        <v>8</v>
      </c>
      <c r="K23" s="9" t="n">
        <v>8</v>
      </c>
      <c r="L23" s="8"/>
      <c r="M23" s="9" t="n">
        <v>8</v>
      </c>
      <c r="N23" s="9" t="n">
        <v>8</v>
      </c>
      <c r="O23" s="10"/>
      <c r="P23" s="10"/>
      <c r="Q23" s="9" t="n">
        <v>8</v>
      </c>
      <c r="R23" s="9" t="n">
        <v>8</v>
      </c>
      <c r="S23" s="9" t="n">
        <v>8</v>
      </c>
      <c r="T23" s="9" t="n">
        <v>8</v>
      </c>
      <c r="U23" s="9" t="n">
        <v>8</v>
      </c>
      <c r="V23" s="10"/>
      <c r="W23" s="10"/>
      <c r="X23" s="9" t="n">
        <v>8</v>
      </c>
      <c r="Y23" s="9" t="n">
        <v>8</v>
      </c>
      <c r="Z23" s="9" t="n">
        <v>8</v>
      </c>
      <c r="AA23" s="9" t="n">
        <v>8</v>
      </c>
      <c r="AB23" s="9" t="n">
        <v>8</v>
      </c>
      <c r="AC23" s="10"/>
      <c r="AD23" s="10"/>
      <c r="AE23" s="9" t="n">
        <v>8</v>
      </c>
      <c r="AF23" s="14"/>
      <c r="AG23" s="11" t="n">
        <f aca="false">SUMPRODUCT(IF(ISNUMBER(B23:AF23),B23:AF23,IF(B23:AF23="8",8,0)))</f>
        <v>160</v>
      </c>
      <c r="AH23" s="12" t="n">
        <f aca="false">SUM(IF(ISNUMBER(B23),B23,IF(B23="8",8,0)),IF(ISNUMBER(H23),H23,IF(H23="8",8,0)),IF(ISNUMBER(I23),I23,IF(I23="8",8,0)),IF(ISNUMBER(L23),L23,IF(L23="8",8,0)),IF(ISNUMBER(O23),O23,IF(O23="8",8,0)),IF(ISNUMBER(P23),P23,IF(P23="8",8,0)),IF(ISNUMBER(V23),V23,IF(V23="8",8,0)),IF(ISNUMBER(W23),W23,IF(W23="8",8,0)),IF(ISNUMBER(AC23),AC23,IF(AC23="8",8,0)),IF(ISNUMBER(AD23),AD23,IF(AD23="8",8,0)))</f>
        <v>0</v>
      </c>
      <c r="AI23" s="13"/>
      <c r="AJ23" s="12" t="n">
        <f aca="false">SUMIF(B23:AF23,"&gt;8")-8*COUNTIF(B23:AF23,"&gt;8")</f>
        <v>0</v>
      </c>
      <c r="AK23" s="12" t="n">
        <f aca="false">COUNTIF(B23:AF23,$B$33)*8</f>
        <v>0</v>
      </c>
      <c r="AL23" s="12" t="n">
        <f aca="false">COUNTIF(B23:AF23,$B$34)*8</f>
        <v>0</v>
      </c>
      <c r="AM23" s="12" t="n">
        <f aca="false">COUNTIF(B23:AF23,$B$35)*8</f>
        <v>0</v>
      </c>
      <c r="AN23" s="12" t="n">
        <f aca="false">COUNTIF(B23:AF23,$B$36)*8</f>
        <v>0</v>
      </c>
      <c r="AO23" s="12" t="n">
        <f aca="false">COUNTIF(B23:AF23,$B$37)*8</f>
        <v>0</v>
      </c>
      <c r="AP23" s="12" t="n">
        <f aca="false">COUNTIF(B23:AF23,$B$38)*8</f>
        <v>0</v>
      </c>
      <c r="AQ23" s="12" t="n">
        <f aca="false">COUNTIF(B23:AF23,$B$39)*8</f>
        <v>0</v>
      </c>
      <c r="AR23" s="12" t="n">
        <f aca="false">COUNTIF(B23:AF23,$B$40)*8</f>
        <v>0</v>
      </c>
      <c r="AS23" s="12" t="n">
        <f aca="false">COUNTIF(B23:AF23,$B$41)*8</f>
        <v>0</v>
      </c>
      <c r="AT23" s="12" t="n">
        <f aca="false">COUNTIF(B23:AF23,$B$42)*8</f>
        <v>0</v>
      </c>
      <c r="AU23" s="12" t="n">
        <f aca="false">COUNTIF(B23:AF23,$B$43)*8</f>
        <v>0</v>
      </c>
      <c r="AV23" s="12" t="n">
        <f aca="false">COUNTIF(B23:AF23,$B$44)*8</f>
        <v>0</v>
      </c>
      <c r="AW23" s="12" t="n">
        <f aca="false">COUNTIF(B23:AF23,$B$45)*8</f>
        <v>0</v>
      </c>
      <c r="AX23" s="12" t="n">
        <f aca="false">COUNTIF(B23:AF23,$B$46)*8</f>
        <v>0</v>
      </c>
    </row>
    <row r="24" customFormat="false" ht="13.45" hidden="false" customHeight="false" outlineLevel="0" collapsed="false">
      <c r="A24" s="7" t="s">
        <v>61</v>
      </c>
      <c r="B24" s="9" t="n">
        <v>8</v>
      </c>
      <c r="C24" s="9" t="n">
        <v>8</v>
      </c>
      <c r="D24" s="9" t="n">
        <v>8</v>
      </c>
      <c r="E24" s="9" t="n">
        <v>8</v>
      </c>
      <c r="F24" s="10"/>
      <c r="G24" s="10"/>
      <c r="H24" s="9" t="n">
        <v>8</v>
      </c>
      <c r="I24" s="9" t="n">
        <v>8</v>
      </c>
      <c r="J24" s="9" t="n">
        <v>8</v>
      </c>
      <c r="K24" s="9" t="n">
        <v>8</v>
      </c>
      <c r="L24" s="9" t="n">
        <v>8</v>
      </c>
      <c r="M24" s="10"/>
      <c r="N24" s="10"/>
      <c r="O24" s="9" t="n">
        <v>8</v>
      </c>
      <c r="P24" s="9" t="n">
        <v>8</v>
      </c>
      <c r="Q24" s="9" t="n">
        <v>8</v>
      </c>
      <c r="R24" s="9" t="n">
        <v>8</v>
      </c>
      <c r="S24" s="9" t="n">
        <v>8</v>
      </c>
      <c r="T24" s="10"/>
      <c r="U24" s="10"/>
      <c r="V24" s="9" t="n">
        <v>8</v>
      </c>
      <c r="W24" s="9" t="n">
        <v>8</v>
      </c>
      <c r="X24" s="9" t="n">
        <v>8</v>
      </c>
      <c r="Y24" s="8"/>
      <c r="Z24" s="8"/>
      <c r="AA24" s="8"/>
      <c r="AB24" s="10"/>
      <c r="AC24" s="9" t="n">
        <v>8</v>
      </c>
      <c r="AD24" s="9" t="n">
        <v>8</v>
      </c>
      <c r="AE24" s="9" t="n">
        <v>8</v>
      </c>
      <c r="AF24" s="9" t="n">
        <v>8</v>
      </c>
      <c r="AG24" s="11" t="n">
        <f aca="false">SUMPRODUCT(IF(ISNUMBER(B24:AF24),B24:AF24,IF(B24:AF24="8",8,0)))</f>
        <v>168</v>
      </c>
      <c r="AH24" s="12" t="n">
        <f aca="false">SUM(IF(ISNUMBER(F24),F24,IF(F24="8",8,0)),IF(ISNUMBER(G24),G24,IF(G24="8",8,0)),IF(ISNUMBER(M24),M24,IF(M24="8",8,0)),IF(ISNUMBER(N24),N24,IF(N24="8",8,0)),IF(ISNUMBER(T24),T24,IF(T24="8",8,0)),IF(ISNUMBER(U24),U24,IF(U24="8",8,0)),IF(ISNUMBER(Y24),Y24,IF(Y24="8",8,0)),IF(ISNUMBER(Z24),Z24,IF(Z24="8",8,0)),IF(ISNUMBER(AA24),AA24,IF(AA24="8",8,0)),IF(ISNUMBER(AB24),AB24,IF(AB24="8",8,0)))</f>
        <v>0</v>
      </c>
      <c r="AI24" s="13"/>
      <c r="AJ24" s="12" t="n">
        <f aca="false">SUMIF(B24:AF24,"&gt;8")-8*COUNTIF(B24:AF24,"&gt;8")</f>
        <v>0</v>
      </c>
      <c r="AK24" s="12" t="n">
        <f aca="false">COUNTIF(B24:AF24,$B$33)*8</f>
        <v>0</v>
      </c>
      <c r="AL24" s="12" t="n">
        <f aca="false">COUNTIF(B24:AF24,$B$34)*8</f>
        <v>0</v>
      </c>
      <c r="AM24" s="12" t="n">
        <f aca="false">COUNTIF(B24:AF24,$B$35)*8</f>
        <v>0</v>
      </c>
      <c r="AN24" s="12" t="n">
        <f aca="false">COUNTIF(B24:AF24,$B$36)*8</f>
        <v>0</v>
      </c>
      <c r="AO24" s="12" t="n">
        <f aca="false">COUNTIF(B24:AF24,$B$37)*8</f>
        <v>0</v>
      </c>
      <c r="AP24" s="12" t="n">
        <f aca="false">COUNTIF(B24:AF24,$B$38)*8</f>
        <v>0</v>
      </c>
      <c r="AQ24" s="12" t="n">
        <f aca="false">COUNTIF(B24:AF24,$B$39)*8</f>
        <v>0</v>
      </c>
      <c r="AR24" s="12" t="n">
        <f aca="false">COUNTIF(B24:AF24,$B$40)*8</f>
        <v>0</v>
      </c>
      <c r="AS24" s="12" t="n">
        <f aca="false">COUNTIF(B24:AF24,$B$41)*8</f>
        <v>0</v>
      </c>
      <c r="AT24" s="12" t="n">
        <f aca="false">COUNTIF(B24:AF24,$B$42)*8</f>
        <v>0</v>
      </c>
      <c r="AU24" s="12" t="n">
        <f aca="false">COUNTIF(B24:AF24,$B$43)*8</f>
        <v>0</v>
      </c>
      <c r="AV24" s="12" t="n">
        <f aca="false">COUNTIF(B24:AF24,$B$44)*8</f>
        <v>0</v>
      </c>
      <c r="AW24" s="12" t="n">
        <f aca="false">COUNTIF(B24:AF24,$B$45)*8</f>
        <v>0</v>
      </c>
      <c r="AX24" s="12" t="n">
        <f aca="false">COUNTIF(B24:AF24,$B$46)*8</f>
        <v>0</v>
      </c>
    </row>
    <row r="25" customFormat="false" ht="13.45" hidden="false" customHeight="false" outlineLevel="0" collapsed="false">
      <c r="A25" s="15" t="s">
        <v>62</v>
      </c>
      <c r="AG25" s="16" t="n">
        <f aca="false">SUM(AG13:AG24)</f>
        <v>2024</v>
      </c>
      <c r="AH25" s="16" t="n">
        <f aca="false">SUM(AH13:AH24)</f>
        <v>0</v>
      </c>
      <c r="AI25" s="16" t="n">
        <f aca="false">SUM(AI13:AI24)</f>
        <v>0</v>
      </c>
      <c r="AJ25" s="16" t="n">
        <f aca="false">SUM(AJ13:AJ24)</f>
        <v>0</v>
      </c>
      <c r="AK25" s="16" t="n">
        <f aca="false">SUM(AK13:AK24)</f>
        <v>0</v>
      </c>
      <c r="AL25" s="16" t="n">
        <f aca="false">SUM(AL13:AL24)</f>
        <v>0</v>
      </c>
      <c r="AM25" s="16" t="n">
        <f aca="false">SUM(AM13:AM24)</f>
        <v>0</v>
      </c>
      <c r="AN25" s="16" t="n">
        <f aca="false">SUM(AN13:AN24)</f>
        <v>0</v>
      </c>
      <c r="AO25" s="16" t="n">
        <f aca="false">SUM(AO13:AO24)</f>
        <v>0</v>
      </c>
      <c r="AP25" s="16" t="n">
        <f aca="false">SUM(AP13:AP24)</f>
        <v>0</v>
      </c>
      <c r="AQ25" s="16" t="n">
        <f aca="false">SUM(AQ13:AQ24)</f>
        <v>0</v>
      </c>
      <c r="AR25" s="16" t="n">
        <f aca="false">SUM(AR13:AR24)</f>
        <v>0</v>
      </c>
      <c r="AS25" s="16" t="n">
        <f aca="false">SUM(AS13:AS24)</f>
        <v>0</v>
      </c>
      <c r="AT25" s="16" t="n">
        <f aca="false">SUM(AT13:AT24)</f>
        <v>0</v>
      </c>
      <c r="AU25" s="16" t="n">
        <f aca="false">SUM(AU13:AU24)</f>
        <v>0</v>
      </c>
      <c r="AV25" s="16" t="n">
        <f aca="false">SUM(AV13:AV24)</f>
        <v>0</v>
      </c>
      <c r="AW25" s="16" t="n">
        <f aca="false">SUM(AW13:AW24)</f>
        <v>0</v>
      </c>
      <c r="AX25" s="16" t="n">
        <f aca="false">SUM(AX13:AX24)</f>
        <v>0</v>
      </c>
    </row>
    <row r="27" customFormat="false" ht="13.45" hidden="false" customHeight="false" outlineLevel="0" collapsed="false">
      <c r="B27" s="2" t="s">
        <v>63</v>
      </c>
      <c r="C27" s="2"/>
      <c r="D27" s="2"/>
      <c r="E27" s="2"/>
      <c r="F27" s="2"/>
      <c r="G27" s="2"/>
      <c r="H27" s="2"/>
      <c r="I27" s="2"/>
      <c r="J27" s="2"/>
      <c r="K27" s="3" t="n">
        <v>26</v>
      </c>
    </row>
    <row r="28" customFormat="false" ht="13.45" hidden="false" customHeight="false" outlineLevel="0" collapsed="false">
      <c r="B28" s="2" t="s">
        <v>64</v>
      </c>
      <c r="C28" s="2"/>
      <c r="D28" s="2"/>
      <c r="E28" s="2"/>
      <c r="F28" s="2"/>
      <c r="G28" s="2"/>
      <c r="H28" s="2"/>
      <c r="I28" s="2"/>
      <c r="J28" s="2"/>
      <c r="K28" s="3" t="n">
        <f aca="false">SUM(AK13:AK24)/8</f>
        <v>0</v>
      </c>
    </row>
    <row r="29" customFormat="false" ht="13.45" hidden="false" customHeight="false" outlineLevel="0" collapsed="false">
      <c r="B29" s="2" t="s">
        <v>65</v>
      </c>
      <c r="C29" s="2"/>
      <c r="D29" s="2"/>
      <c r="E29" s="2"/>
      <c r="F29" s="2"/>
      <c r="G29" s="2"/>
      <c r="H29" s="2"/>
      <c r="I29" s="2"/>
      <c r="J29" s="2"/>
      <c r="K29" s="3" t="n">
        <f aca="false">K27-K28</f>
        <v>26</v>
      </c>
    </row>
    <row r="31" customFormat="false" ht="13.45" hidden="false" customHeight="false" outlineLevel="0" collapsed="false">
      <c r="B31" s="2" t="s">
        <v>66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12.8" hidden="false" customHeight="false" outlineLevel="0" collapsed="false">
      <c r="B32" s="17" t="n">
        <v>8</v>
      </c>
      <c r="C32" s="17"/>
      <c r="D32" s="18" t="s">
        <v>67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</row>
    <row r="33" customFormat="false" ht="12.8" hidden="false" customHeight="false" outlineLevel="0" collapsed="false">
      <c r="B33" s="17" t="s">
        <v>68</v>
      </c>
      <c r="C33" s="17"/>
      <c r="D33" s="18" t="s">
        <v>69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</row>
    <row r="34" customFormat="false" ht="12.8" hidden="false" customHeight="false" outlineLevel="0" collapsed="false">
      <c r="B34" s="17" t="s">
        <v>70</v>
      </c>
      <c r="C34" s="17"/>
      <c r="D34" s="18" t="s">
        <v>71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</row>
    <row r="35" customFormat="false" ht="12.8" hidden="false" customHeight="false" outlineLevel="0" collapsed="false">
      <c r="B35" s="17" t="s">
        <v>72</v>
      </c>
      <c r="C35" s="17"/>
      <c r="D35" s="18" t="s">
        <v>73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</row>
    <row r="36" customFormat="false" ht="12.8" hidden="false" customHeight="false" outlineLevel="0" collapsed="false">
      <c r="B36" s="17" t="s">
        <v>74</v>
      </c>
      <c r="C36" s="17"/>
      <c r="D36" s="18" t="s">
        <v>75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</row>
    <row r="37" customFormat="false" ht="12.8" hidden="false" customHeight="false" outlineLevel="0" collapsed="false">
      <c r="B37" s="17" t="s">
        <v>76</v>
      </c>
      <c r="C37" s="17"/>
      <c r="D37" s="18" t="s">
        <v>77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</row>
    <row r="38" customFormat="false" ht="12.8" hidden="false" customHeight="false" outlineLevel="0" collapsed="false">
      <c r="B38" s="17" t="s">
        <v>78</v>
      </c>
      <c r="C38" s="17"/>
      <c r="D38" s="18" t="s">
        <v>79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</row>
    <row r="39" customFormat="false" ht="12.8" hidden="false" customHeight="false" outlineLevel="0" collapsed="false">
      <c r="B39" s="17" t="s">
        <v>80</v>
      </c>
      <c r="C39" s="17"/>
      <c r="D39" s="18" t="s">
        <v>81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</row>
    <row r="40" customFormat="false" ht="12.8" hidden="false" customHeight="false" outlineLevel="0" collapsed="false">
      <c r="B40" s="17" t="s">
        <v>82</v>
      </c>
      <c r="C40" s="17"/>
      <c r="D40" s="18" t="s">
        <v>83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</row>
    <row r="41" customFormat="false" ht="12.8" hidden="false" customHeight="false" outlineLevel="0" collapsed="false">
      <c r="B41" s="17" t="s">
        <v>84</v>
      </c>
      <c r="C41" s="17"/>
      <c r="D41" s="18" t="s">
        <v>85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</row>
    <row r="42" customFormat="false" ht="12.8" hidden="false" customHeight="false" outlineLevel="0" collapsed="false">
      <c r="B42" s="17" t="s">
        <v>86</v>
      </c>
      <c r="C42" s="17"/>
      <c r="D42" s="18" t="s">
        <v>87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</row>
    <row r="43" customFormat="false" ht="12.8" hidden="false" customHeight="false" outlineLevel="0" collapsed="false">
      <c r="B43" s="17" t="s">
        <v>88</v>
      </c>
      <c r="C43" s="17"/>
      <c r="D43" s="18" t="s">
        <v>89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</row>
    <row r="44" customFormat="false" ht="12.8" hidden="false" customHeight="false" outlineLevel="0" collapsed="false">
      <c r="B44" s="17" t="s">
        <v>90</v>
      </c>
      <c r="C44" s="17"/>
      <c r="D44" s="18" t="s">
        <v>91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</row>
    <row r="45" customFormat="false" ht="12.8" hidden="false" customHeight="false" outlineLevel="0" collapsed="false">
      <c r="B45" s="17" t="s">
        <v>92</v>
      </c>
      <c r="C45" s="17"/>
      <c r="D45" s="18" t="s">
        <v>93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</row>
    <row r="46" customFormat="false" ht="12.8" hidden="false" customHeight="false" outlineLevel="0" collapsed="false">
      <c r="B46" s="17" t="s">
        <v>94</v>
      </c>
      <c r="C46" s="17"/>
      <c r="D46" s="18" t="s">
        <v>95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</row>
    <row r="48" customFormat="false" ht="12.8" hidden="false" customHeight="false" outlineLevel="0" collapsed="false">
      <c r="B48" s="19" t="s">
        <v>96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</row>
    <row r="49" customFormat="false" ht="12.8" hidden="false" customHeight="false" outlineLevel="0" collapsed="false">
      <c r="B49" s="19" t="s">
        <v>97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</row>
    <row r="50" customFormat="false" ht="12.8" hidden="false" customHeight="false" outlineLevel="0" collapsed="false">
      <c r="B50" s="19" t="s">
        <v>98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</row>
  </sheetData>
  <mergeCells count="56">
    <mergeCell ref="B1:AX1"/>
    <mergeCell ref="B3:G3"/>
    <mergeCell ref="H3:S3"/>
    <mergeCell ref="B4:G4"/>
    <mergeCell ref="H4:S4"/>
    <mergeCell ref="B5:G5"/>
    <mergeCell ref="H5:S5"/>
    <mergeCell ref="B6:G6"/>
    <mergeCell ref="H6:S6"/>
    <mergeCell ref="B7:G7"/>
    <mergeCell ref="H7:S7"/>
    <mergeCell ref="B8:G8"/>
    <mergeCell ref="H8:S8"/>
    <mergeCell ref="B9:G9"/>
    <mergeCell ref="H9:S9"/>
    <mergeCell ref="A11:A12"/>
    <mergeCell ref="B11:AF11"/>
    <mergeCell ref="AG11:AJ11"/>
    <mergeCell ref="AK11:AX11"/>
    <mergeCell ref="B27:J27"/>
    <mergeCell ref="B28:J28"/>
    <mergeCell ref="B29:J29"/>
    <mergeCell ref="B31:Y31"/>
    <mergeCell ref="B32:C32"/>
    <mergeCell ref="D32:R32"/>
    <mergeCell ref="B33:C33"/>
    <mergeCell ref="D33:R33"/>
    <mergeCell ref="B34:C34"/>
    <mergeCell ref="D34:R34"/>
    <mergeCell ref="B35:C35"/>
    <mergeCell ref="D35:R35"/>
    <mergeCell ref="B36:C36"/>
    <mergeCell ref="D36:R36"/>
    <mergeCell ref="B37:C37"/>
    <mergeCell ref="D37:R37"/>
    <mergeCell ref="B38:C38"/>
    <mergeCell ref="D38:R38"/>
    <mergeCell ref="B39:C39"/>
    <mergeCell ref="D39:R39"/>
    <mergeCell ref="B40:C40"/>
    <mergeCell ref="D40:R40"/>
    <mergeCell ref="B41:C41"/>
    <mergeCell ref="D41:R41"/>
    <mergeCell ref="B42:C42"/>
    <mergeCell ref="D42:R42"/>
    <mergeCell ref="B43:C43"/>
    <mergeCell ref="D43:R43"/>
    <mergeCell ref="B44:C44"/>
    <mergeCell ref="D44:R44"/>
    <mergeCell ref="B45:C45"/>
    <mergeCell ref="D45:R45"/>
    <mergeCell ref="B46:C46"/>
    <mergeCell ref="D46:R46"/>
    <mergeCell ref="B48:AJ48"/>
    <mergeCell ref="B49:AJ49"/>
    <mergeCell ref="B50:AJ50"/>
  </mergeCells>
  <dataValidations count="1">
    <dataValidation allowBlank="1" showDropDown="0" showErrorMessage="false" type="list" sqref="B13:AF13 B14:AC14 B15:AF15 B16:AE16 B17:AF17 B18:AE24 AF19:AF20 AF22 AF24">
      <formula1>$B$32:$B$46</formula1>
    </dataValidation>
  </dataValidations>
  <printOptions headings="false" gridLines="false" gridLinesSet="true" horizontalCentered="true" verticalCentered="false"/>
  <pageMargins left="0.236" right="0.236" top="0.315" bottom="0.315" header="0.079" footer="0.079"/>
  <pageSetup paperSize="9" scale="100" fitToWidth="2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&amp;CKarta ewidencji czasu pracy 2026 | strona &amp;P</oddFooter>
  </headerFooter>
  <colBreaks count="1" manualBreakCount="1">
    <brk id="36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